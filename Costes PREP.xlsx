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PrEP-LEN\"/>
    </mc:Choice>
  </mc:AlternateContent>
  <xr:revisionPtr revIDLastSave="0" documentId="13_ncr:1_{003186D1-0F52-4DCB-BF60-E08EF87ED782}" xr6:coauthVersionLast="47" xr6:coauthVersionMax="47" xr10:uidLastSave="{00000000-0000-0000-0000-000000000000}"/>
  <bookViews>
    <workbookView xWindow="2670" yWindow="3375" windowWidth="16290" windowHeight="1665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F33" i="1"/>
  <c r="E31" i="1"/>
  <c r="E30" i="1"/>
  <c r="B2" i="1"/>
  <c r="G28" i="1"/>
  <c r="F2" i="1"/>
  <c r="M6" i="1"/>
  <c r="L6" i="1"/>
  <c r="F18" i="1"/>
  <c r="F17" i="1"/>
  <c r="F16" i="1"/>
  <c r="F15" i="1"/>
  <c r="F14" i="1"/>
  <c r="F13" i="1"/>
  <c r="F12" i="1"/>
  <c r="F11" i="1"/>
  <c r="F10" i="1"/>
  <c r="F8" i="1"/>
  <c r="F7" i="1"/>
  <c r="F6" i="1"/>
  <c r="F5" i="1"/>
  <c r="F4" i="1"/>
  <c r="F3" i="1"/>
  <c r="G23" i="1"/>
  <c r="H23" i="1" s="1"/>
  <c r="L4" i="1"/>
  <c r="M4" i="1"/>
  <c r="L5" i="1"/>
  <c r="L11" i="1"/>
  <c r="J12" i="1"/>
  <c r="K9" i="1"/>
  <c r="M5" i="1"/>
  <c r="I8" i="1" s="1"/>
  <c r="K19" i="1"/>
  <c r="E17" i="1"/>
  <c r="C26" i="1"/>
  <c r="F26" i="1" s="1"/>
  <c r="C2" i="1"/>
  <c r="F19" i="1" l="1"/>
  <c r="F21" i="1"/>
  <c r="F20" i="1"/>
  <c r="F23" i="1" s="1"/>
  <c r="I9" i="1"/>
  <c r="E2" i="1"/>
  <c r="E16" i="1"/>
  <c r="E11" i="1"/>
  <c r="E15" i="1"/>
  <c r="E14" i="1"/>
  <c r="E13" i="1"/>
  <c r="E12" i="1"/>
  <c r="E10" i="1"/>
  <c r="E6" i="1"/>
  <c r="E5" i="1"/>
  <c r="E4" i="1"/>
  <c r="C3" i="1"/>
  <c r="E3" i="1" s="1"/>
  <c r="C31" i="1"/>
  <c r="C30" i="1"/>
  <c r="E37" i="1"/>
  <c r="E36" i="1"/>
  <c r="E35" i="1"/>
  <c r="E34" i="1"/>
  <c r="E33" i="1"/>
  <c r="E32" i="1"/>
  <c r="E29" i="1"/>
  <c r="E28" i="1"/>
  <c r="E27" i="1"/>
  <c r="B37" i="1"/>
  <c r="B36" i="1"/>
  <c r="B35" i="1"/>
  <c r="B34" i="1"/>
  <c r="B33" i="1"/>
  <c r="B32" i="1"/>
  <c r="E9" i="1"/>
  <c r="E8" i="1"/>
  <c r="E7" i="1"/>
  <c r="B31" i="1"/>
  <c r="B28" i="1"/>
  <c r="E26" i="1"/>
  <c r="B30" i="1"/>
  <c r="E20" i="1" l="1"/>
  <c r="E19" i="1"/>
  <c r="E21" i="1"/>
  <c r="E38" i="1"/>
</calcChain>
</file>

<file path=xl/sharedStrings.xml><?xml version="1.0" encoding="utf-8"?>
<sst xmlns="http://schemas.openxmlformats.org/spreadsheetml/2006/main" count="58" uniqueCount="46">
  <si>
    <t>semanal</t>
  </si>
  <si>
    <t>TPHA</t>
  </si>
  <si>
    <t>Hemograma</t>
  </si>
  <si>
    <t>Creatinina</t>
  </si>
  <si>
    <t>Glucemia</t>
  </si>
  <si>
    <t>Fósforo</t>
  </si>
  <si>
    <t>Transaminasas</t>
  </si>
  <si>
    <t>TAR</t>
  </si>
  <si>
    <t>Tto</t>
  </si>
  <si>
    <t>CV</t>
  </si>
  <si>
    <t>CD4</t>
  </si>
  <si>
    <t>Consulta</t>
  </si>
  <si>
    <t>PrEP</t>
  </si>
  <si>
    <t>Item</t>
  </si>
  <si>
    <t>Tratamiento</t>
  </si>
  <si>
    <t xml:space="preserve">Renta per cápita España </t>
  </si>
  <si>
    <t>30733$</t>
  </si>
  <si>
    <t>Especialista</t>
  </si>
  <si>
    <t>Primaria</t>
  </si>
  <si>
    <t>Serología VIH</t>
  </si>
  <si>
    <t>Test reagínico LUES</t>
  </si>
  <si>
    <t>HLA-B5701</t>
  </si>
  <si>
    <t>Coste unitario</t>
  </si>
  <si>
    <t>Unidades anuales</t>
  </si>
  <si>
    <t>coste semanal</t>
  </si>
  <si>
    <t>Total</t>
  </si>
  <si>
    <t>Test resistencias</t>
  </si>
  <si>
    <t>Primaria 1ªvisita</t>
  </si>
  <si>
    <t>Primaria 2ªvisita</t>
  </si>
  <si>
    <t>Especializada 1ªvisita</t>
  </si>
  <si>
    <t>Especializada 2ºvisita</t>
  </si>
  <si>
    <t>Na y K+</t>
  </si>
  <si>
    <t>Sedimento orina</t>
  </si>
  <si>
    <t>TDF/FTC</t>
  </si>
  <si>
    <t>TAF/FTC</t>
  </si>
  <si>
    <t>PVP</t>
  </si>
  <si>
    <t>Precio hosp</t>
  </si>
  <si>
    <t>0,97€ dia</t>
  </si>
  <si>
    <t>CBV</t>
  </si>
  <si>
    <t>CBV CE</t>
  </si>
  <si>
    <t>TAF CE</t>
  </si>
  <si>
    <t>PCR ETS</t>
  </si>
  <si>
    <t>Consulta Enfermera</t>
  </si>
  <si>
    <t>CE</t>
  </si>
  <si>
    <t>LCA</t>
  </si>
  <si>
    <t>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</si>
</sst>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selection activeCell="H31" sqref="H31"/>
    </sheetView>
  </sheetViews>
  <sheetFormatPr baseColWidth="10" defaultColWidth="8.7109375" defaultRowHeight="15" x14ac:dyDescent="0.25"/>
  <cols>
    <col min="1" max="1" width="22.85546875" customWidth="1"/>
    <col min="2" max="3" width="14.140625" customWidth="1"/>
    <col min="4" max="4" width="16.7109375" customWidth="1"/>
    <col min="5" max="5" width="14.7109375" customWidth="1"/>
    <col min="6" max="6" width="11.42578125" customWidth="1"/>
    <col min="7" max="7" width="12.140625" customWidth="1"/>
    <col min="8" max="8" width="9.28515625" customWidth="1"/>
    <col min="10" max="10" width="10.5703125" customWidth="1"/>
    <col min="13" max="13" width="13.7109375" customWidth="1"/>
  </cols>
  <sheetData>
    <row r="1" spans="1:13" x14ac:dyDescent="0.25">
      <c r="A1" s="5" t="s">
        <v>13</v>
      </c>
      <c r="B1" s="5" t="s">
        <v>12</v>
      </c>
      <c r="C1" s="5" t="s">
        <v>22</v>
      </c>
      <c r="D1" s="5" t="s">
        <v>23</v>
      </c>
      <c r="E1" s="5" t="s">
        <v>24</v>
      </c>
      <c r="F1" s="2" t="s">
        <v>44</v>
      </c>
      <c r="G1" s="2"/>
      <c r="I1" t="s">
        <v>15</v>
      </c>
      <c r="L1" t="s">
        <v>16</v>
      </c>
      <c r="M1" s="1">
        <v>25854</v>
      </c>
    </row>
    <row r="2" spans="1:13" x14ac:dyDescent="0.25">
      <c r="A2" s="2" t="s">
        <v>14</v>
      </c>
      <c r="B2" s="2">
        <f>187.39/28</f>
        <v>6.6924999999999999</v>
      </c>
      <c r="C2" s="2">
        <f>0.97</f>
        <v>0.97</v>
      </c>
      <c r="D2" s="2">
        <v>365</v>
      </c>
      <c r="E2" s="2">
        <f t="shared" ref="E2:E17" si="0">C2*D2/52</f>
        <v>6.8086538461538462</v>
      </c>
      <c r="F2" s="2">
        <f>21088.5/(24)</f>
        <v>878.6875</v>
      </c>
      <c r="G2" s="2"/>
    </row>
    <row r="3" spans="1:13" x14ac:dyDescent="0.25">
      <c r="A3" s="2" t="s">
        <v>27</v>
      </c>
      <c r="B3" s="2"/>
      <c r="C3" s="2">
        <f>56.89</f>
        <v>56.89</v>
      </c>
      <c r="D3" s="2">
        <v>1</v>
      </c>
      <c r="E3" s="2">
        <f t="shared" si="0"/>
        <v>1.0940384615384615</v>
      </c>
      <c r="F3" s="2">
        <f t="shared" ref="F3:F8" si="1">(C3*D3)/52</f>
        <v>1.0940384615384615</v>
      </c>
      <c r="G3" s="2"/>
      <c r="I3" t="s">
        <v>33</v>
      </c>
      <c r="J3" t="s">
        <v>37</v>
      </c>
      <c r="K3" t="s">
        <v>36</v>
      </c>
    </row>
    <row r="4" spans="1:13" x14ac:dyDescent="0.25">
      <c r="A4" s="2" t="s">
        <v>28</v>
      </c>
      <c r="B4" s="2"/>
      <c r="C4" s="2">
        <v>34.619999999999997</v>
      </c>
      <c r="D4" s="2">
        <v>3</v>
      </c>
      <c r="E4" s="2">
        <f t="shared" si="0"/>
        <v>1.997307692307692</v>
      </c>
      <c r="F4" s="2">
        <f t="shared" si="1"/>
        <v>1.997307692307692</v>
      </c>
      <c r="G4" s="2"/>
      <c r="I4" t="s">
        <v>34</v>
      </c>
      <c r="J4">
        <v>502.99</v>
      </c>
      <c r="K4" t="s">
        <v>35</v>
      </c>
      <c r="L4">
        <f>J4/30</f>
        <v>16.766333333333332</v>
      </c>
      <c r="M4">
        <f>L4*7</f>
        <v>117.36433333333332</v>
      </c>
    </row>
    <row r="5" spans="1:13" x14ac:dyDescent="0.25">
      <c r="A5" s="2" t="s">
        <v>29</v>
      </c>
      <c r="B5" s="2"/>
      <c r="C5" s="2">
        <v>148.78</v>
      </c>
      <c r="D5" s="2">
        <v>1</v>
      </c>
      <c r="E5" s="2">
        <f t="shared" si="0"/>
        <v>2.8611538461538464</v>
      </c>
      <c r="F5" s="2">
        <f t="shared" si="1"/>
        <v>2.8611538461538464</v>
      </c>
      <c r="G5" s="2"/>
      <c r="I5" t="s">
        <v>38</v>
      </c>
      <c r="J5">
        <v>1334.6</v>
      </c>
      <c r="K5" t="s">
        <v>35</v>
      </c>
      <c r="L5">
        <f>J5/60</f>
        <v>22.243333333333332</v>
      </c>
      <c r="M5">
        <f>L5*7</f>
        <v>155.70333333333332</v>
      </c>
    </row>
    <row r="6" spans="1:13" x14ac:dyDescent="0.25">
      <c r="A6" s="2" t="s">
        <v>30</v>
      </c>
      <c r="B6" s="2"/>
      <c r="C6" s="2">
        <v>92.92</v>
      </c>
      <c r="D6" s="2">
        <v>4</v>
      </c>
      <c r="E6" s="2">
        <f t="shared" si="0"/>
        <v>7.1476923076923082</v>
      </c>
      <c r="F6" s="2">
        <f t="shared" si="1"/>
        <v>7.1476923076923082</v>
      </c>
      <c r="G6" s="2"/>
      <c r="I6" t="s">
        <v>44</v>
      </c>
      <c r="J6">
        <v>21088.5</v>
      </c>
      <c r="K6" t="s">
        <v>35</v>
      </c>
      <c r="L6">
        <f>J6/180</f>
        <v>117.15833333333333</v>
      </c>
      <c r="M6">
        <f>L6*7</f>
        <v>820.10833333333335</v>
      </c>
    </row>
    <row r="7" spans="1:13" x14ac:dyDescent="0.25">
      <c r="A7" s="2" t="s">
        <v>19</v>
      </c>
      <c r="B7" s="2"/>
      <c r="C7" s="2">
        <v>13.53</v>
      </c>
      <c r="D7" s="2">
        <v>4</v>
      </c>
      <c r="E7" s="2">
        <f t="shared" si="0"/>
        <v>1.0407692307692307</v>
      </c>
      <c r="F7" s="2">
        <f t="shared" si="1"/>
        <v>1.0407692307692307</v>
      </c>
      <c r="G7" s="2"/>
    </row>
    <row r="8" spans="1:13" x14ac:dyDescent="0.25">
      <c r="A8" s="2" t="s">
        <v>20</v>
      </c>
      <c r="B8" s="2"/>
      <c r="C8" s="2">
        <v>7.3</v>
      </c>
      <c r="D8" s="2">
        <v>4</v>
      </c>
      <c r="E8" s="2">
        <f t="shared" si="0"/>
        <v>0.56153846153846154</v>
      </c>
      <c r="F8" s="2">
        <f t="shared" si="1"/>
        <v>0.56153846153846154</v>
      </c>
      <c r="G8" s="2"/>
      <c r="H8" t="s">
        <v>39</v>
      </c>
      <c r="I8">
        <f>G2*8</f>
        <v>0</v>
      </c>
    </row>
    <row r="9" spans="1:13" x14ac:dyDescent="0.25">
      <c r="A9" s="2" t="s">
        <v>1</v>
      </c>
      <c r="B9" s="2"/>
      <c r="C9" s="2">
        <v>0</v>
      </c>
      <c r="D9" s="2">
        <v>4</v>
      </c>
      <c r="E9" s="2">
        <f t="shared" si="0"/>
        <v>0</v>
      </c>
      <c r="F9" s="2"/>
      <c r="G9" s="2"/>
      <c r="H9" t="s">
        <v>40</v>
      </c>
      <c r="I9">
        <f>F2*4</f>
        <v>3514.75</v>
      </c>
      <c r="K9">
        <f>365/52</f>
        <v>7.0192307692307692</v>
      </c>
    </row>
    <row r="10" spans="1:13" x14ac:dyDescent="0.25">
      <c r="A10" s="2" t="s">
        <v>2</v>
      </c>
      <c r="B10" s="2"/>
      <c r="C10" s="2">
        <v>4.4000000000000004</v>
      </c>
      <c r="D10" s="2">
        <v>4</v>
      </c>
      <c r="E10" s="2">
        <f t="shared" si="0"/>
        <v>0.33846153846153848</v>
      </c>
      <c r="F10" s="2">
        <f t="shared" ref="F10:F17" si="2">(C10*D10)/52</f>
        <v>0.33846153846153848</v>
      </c>
      <c r="G10" s="2"/>
    </row>
    <row r="11" spans="1:13" x14ac:dyDescent="0.25">
      <c r="A11" s="2" t="s">
        <v>31</v>
      </c>
      <c r="B11" s="2"/>
      <c r="C11" s="2">
        <v>3.1</v>
      </c>
      <c r="D11" s="2">
        <v>4</v>
      </c>
      <c r="E11" s="2">
        <f t="shared" si="0"/>
        <v>0.23846153846153847</v>
      </c>
      <c r="F11" s="2">
        <f t="shared" si="2"/>
        <v>0.23846153846153847</v>
      </c>
      <c r="G11" s="2"/>
      <c r="L11">
        <f>502.99/7</f>
        <v>71.855714285714285</v>
      </c>
    </row>
    <row r="12" spans="1:13" x14ac:dyDescent="0.25">
      <c r="A12" s="2" t="s">
        <v>3</v>
      </c>
      <c r="B12" s="2"/>
      <c r="C12" s="2">
        <v>0.75</v>
      </c>
      <c r="D12" s="2">
        <v>4</v>
      </c>
      <c r="E12" s="2">
        <f t="shared" si="0"/>
        <v>5.7692307692307696E-2</v>
      </c>
      <c r="F12" s="2">
        <f t="shared" si="2"/>
        <v>5.7692307692307696E-2</v>
      </c>
      <c r="G12" s="2"/>
      <c r="J12">
        <f>J4/30*7</f>
        <v>117.36433333333332</v>
      </c>
    </row>
    <row r="13" spans="1:13" x14ac:dyDescent="0.25">
      <c r="A13" s="2" t="s">
        <v>4</v>
      </c>
      <c r="B13" s="2"/>
      <c r="C13" s="2">
        <v>0.73</v>
      </c>
      <c r="D13" s="2">
        <v>4</v>
      </c>
      <c r="E13" s="2">
        <f t="shared" si="0"/>
        <v>5.6153846153846151E-2</v>
      </c>
      <c r="F13" s="2">
        <f t="shared" si="2"/>
        <v>5.6153846153846151E-2</v>
      </c>
      <c r="G13" s="2"/>
    </row>
    <row r="14" spans="1:13" x14ac:dyDescent="0.25">
      <c r="A14" s="2" t="s">
        <v>5</v>
      </c>
      <c r="B14" s="2"/>
      <c r="C14" s="2">
        <v>0.72</v>
      </c>
      <c r="D14" s="2">
        <v>4</v>
      </c>
      <c r="E14" s="2">
        <f t="shared" si="0"/>
        <v>5.5384615384615379E-2</v>
      </c>
      <c r="F14" s="2">
        <f t="shared" si="2"/>
        <v>5.5384615384615379E-2</v>
      </c>
      <c r="G14" s="2"/>
    </row>
    <row r="15" spans="1:13" x14ac:dyDescent="0.25">
      <c r="A15" s="2" t="s">
        <v>6</v>
      </c>
      <c r="B15" s="2"/>
      <c r="C15" s="2">
        <v>4</v>
      </c>
      <c r="D15" s="2">
        <v>4</v>
      </c>
      <c r="E15" s="2">
        <f t="shared" si="0"/>
        <v>0.30769230769230771</v>
      </c>
      <c r="F15" s="2">
        <f t="shared" si="2"/>
        <v>0.30769230769230771</v>
      </c>
      <c r="G15" s="2"/>
    </row>
    <row r="16" spans="1:13" x14ac:dyDescent="0.25">
      <c r="A16" s="2" t="s">
        <v>32</v>
      </c>
      <c r="B16" s="2"/>
      <c r="C16" s="2">
        <v>4.4000000000000004</v>
      </c>
      <c r="D16" s="2">
        <v>4</v>
      </c>
      <c r="E16" s="2">
        <f t="shared" si="0"/>
        <v>0.33846153846153848</v>
      </c>
      <c r="F16" s="2">
        <f t="shared" si="2"/>
        <v>0.33846153846153848</v>
      </c>
      <c r="G16" s="2"/>
    </row>
    <row r="17" spans="1:11" x14ac:dyDescent="0.25">
      <c r="A17" s="2" t="s">
        <v>41</v>
      </c>
      <c r="B17" s="2"/>
      <c r="C17" s="2">
        <v>85.38</v>
      </c>
      <c r="D17" s="2">
        <v>4</v>
      </c>
      <c r="E17" s="2">
        <f t="shared" si="0"/>
        <v>6.5676923076923073</v>
      </c>
      <c r="F17" s="2">
        <f t="shared" si="2"/>
        <v>6.5676923076923073</v>
      </c>
      <c r="G17" s="2"/>
    </row>
    <row r="18" spans="1:11" x14ac:dyDescent="0.25">
      <c r="A18" s="2" t="s">
        <v>42</v>
      </c>
      <c r="B18" s="2"/>
      <c r="C18" s="2">
        <v>27</v>
      </c>
      <c r="D18" s="2">
        <v>2</v>
      </c>
      <c r="E18" s="2"/>
      <c r="F18" s="2">
        <f>(C18*2)/52</f>
        <v>1.0384615384615385</v>
      </c>
      <c r="G18" s="2"/>
    </row>
    <row r="19" spans="1:11" x14ac:dyDescent="0.25">
      <c r="A19" s="2" t="s">
        <v>45</v>
      </c>
      <c r="B19" s="2"/>
      <c r="C19" s="2"/>
      <c r="D19" s="2"/>
      <c r="E19" s="2">
        <f>E3+E4+E5+E6+E7+E8+E9+E10+E11+E12+E13+E14+E15+E16+E17+E18</f>
        <v>22.662500000000001</v>
      </c>
      <c r="F19" s="2">
        <f>F3+F4+F5+F6+F7+F8+F9+F10+F11+F12+F13+F14+F15+F16+F17+F18</f>
        <v>23.700961538461542</v>
      </c>
      <c r="G19" s="2"/>
      <c r="K19">
        <f>16.76*7</f>
        <v>117.32000000000001</v>
      </c>
    </row>
    <row r="20" spans="1:11" x14ac:dyDescent="0.25">
      <c r="A20" s="2" t="s">
        <v>25</v>
      </c>
      <c r="B20" s="2" t="s">
        <v>17</v>
      </c>
      <c r="C20" s="2"/>
      <c r="D20" s="2"/>
      <c r="E20" s="2">
        <f>E2+E5+E6+E8+E7+E9+E10+E11+E12+E13+E14+E15+E16+E17</f>
        <v>26.379807692307693</v>
      </c>
      <c r="F20" s="2">
        <f>F2+F5+F6+F8+F7+F9+F10+F11+F12+F13+F14+F15+F16+F17</f>
        <v>898.25865384615361</v>
      </c>
      <c r="G20" s="2"/>
    </row>
    <row r="21" spans="1:11" x14ac:dyDescent="0.25">
      <c r="A21" s="2" t="s">
        <v>25</v>
      </c>
      <c r="B21" s="2" t="s">
        <v>18</v>
      </c>
      <c r="C21" s="2"/>
      <c r="D21" s="2"/>
      <c r="E21" s="2">
        <f>E2+E3+E4+E7+E8+E9+E10+E11+E12+E13+E14+E15+E16</f>
        <v>12.894615384615385</v>
      </c>
      <c r="F21" s="2">
        <f>F2+F3+F4+F7+F8+F9+F10+F11+F12+F13+F14+F15+F16</f>
        <v>884.77346153846145</v>
      </c>
      <c r="G21" s="2"/>
    </row>
    <row r="22" spans="1:11" x14ac:dyDescent="0.25">
      <c r="A22" s="2"/>
      <c r="B22" s="2"/>
      <c r="C22" s="2"/>
      <c r="D22" s="2"/>
      <c r="E22" s="2"/>
      <c r="F22">
        <v>23.77</v>
      </c>
      <c r="G22">
        <v>24.5</v>
      </c>
    </row>
    <row r="23" spans="1:11" x14ac:dyDescent="0.25">
      <c r="D23" t="s">
        <v>43</v>
      </c>
      <c r="F23">
        <f>117-(F20-F2)</f>
        <v>97.428846153846393</v>
      </c>
      <c r="G23">
        <f>158-(G20-G2)</f>
        <v>158</v>
      </c>
      <c r="H23">
        <f>G23*8</f>
        <v>1264</v>
      </c>
    </row>
    <row r="25" spans="1:11" x14ac:dyDescent="0.25">
      <c r="A25" s="3"/>
      <c r="B25" s="3" t="s">
        <v>7</v>
      </c>
      <c r="C25" s="3" t="s">
        <v>22</v>
      </c>
      <c r="D25" s="3" t="s">
        <v>23</v>
      </c>
      <c r="E25" s="3" t="s">
        <v>0</v>
      </c>
    </row>
    <row r="26" spans="1:11" x14ac:dyDescent="0.25">
      <c r="A26" s="4" t="s">
        <v>8</v>
      </c>
      <c r="B26" s="4">
        <v>8600</v>
      </c>
      <c r="C26" s="4">
        <f>B26/365</f>
        <v>23.561643835616437</v>
      </c>
      <c r="D26" s="4">
        <v>365</v>
      </c>
      <c r="E26" s="4">
        <f>B26/52</f>
        <v>165.38461538461539</v>
      </c>
      <c r="F26">
        <f>C26*D26</f>
        <v>8600</v>
      </c>
    </row>
    <row r="27" spans="1:11" x14ac:dyDescent="0.25">
      <c r="A27" s="4" t="s">
        <v>26</v>
      </c>
      <c r="B27" s="4">
        <v>328</v>
      </c>
      <c r="C27" s="4">
        <v>328</v>
      </c>
      <c r="D27" s="4">
        <v>1</v>
      </c>
      <c r="E27" s="4">
        <f t="shared" ref="E27:E37" si="3">C27*D27/52</f>
        <v>6.3076923076923075</v>
      </c>
    </row>
    <row r="28" spans="1:11" x14ac:dyDescent="0.25">
      <c r="A28" s="4" t="s">
        <v>9</v>
      </c>
      <c r="B28" s="4">
        <f>96.81*2</f>
        <v>193.62</v>
      </c>
      <c r="C28" s="4">
        <v>96.81</v>
      </c>
      <c r="D28" s="4">
        <v>2</v>
      </c>
      <c r="E28" s="4">
        <f t="shared" si="3"/>
        <v>3.7234615384615384</v>
      </c>
      <c r="G28">
        <f>120.85*2/52</f>
        <v>4.648076923076923</v>
      </c>
    </row>
    <row r="29" spans="1:11" x14ac:dyDescent="0.25">
      <c r="A29" s="4" t="s">
        <v>10</v>
      </c>
      <c r="B29" s="4">
        <v>25.17</v>
      </c>
      <c r="C29" s="4">
        <v>25.17</v>
      </c>
      <c r="D29" s="4">
        <v>2</v>
      </c>
      <c r="E29" s="4">
        <f t="shared" si="3"/>
        <v>0.96807692307692317</v>
      </c>
    </row>
    <row r="30" spans="1:11" x14ac:dyDescent="0.25">
      <c r="A30" s="4" t="s">
        <v>11</v>
      </c>
      <c r="B30" s="4">
        <f>148.78+(92.92*3)</f>
        <v>427.53999999999996</v>
      </c>
      <c r="C30" s="4">
        <f>148.78+(92.92*3)</f>
        <v>427.53999999999996</v>
      </c>
      <c r="D30" s="4">
        <v>1</v>
      </c>
      <c r="E30" s="4">
        <f>C30*D30/52</f>
        <v>8.2219230769230762</v>
      </c>
      <c r="H30">
        <f>E10+E11+E12+E13+E14+E15+E16</f>
        <v>1.3923076923076922</v>
      </c>
    </row>
    <row r="31" spans="1:11" x14ac:dyDescent="0.25">
      <c r="A31" s="4" t="s">
        <v>21</v>
      </c>
      <c r="B31" s="4">
        <f>151</f>
        <v>151</v>
      </c>
      <c r="C31" s="4">
        <f>151</f>
        <v>151</v>
      </c>
      <c r="D31" s="4">
        <v>1</v>
      </c>
      <c r="E31" s="4">
        <f>C31*D31/52</f>
        <v>2.9038461538461537</v>
      </c>
    </row>
    <row r="32" spans="1:11" x14ac:dyDescent="0.25">
      <c r="A32" s="4" t="s">
        <v>2</v>
      </c>
      <c r="B32" s="4">
        <f>4.34*4</f>
        <v>17.36</v>
      </c>
      <c r="C32" s="4">
        <v>4.34</v>
      </c>
      <c r="D32" s="4">
        <v>4</v>
      </c>
      <c r="E32" s="4">
        <f t="shared" si="3"/>
        <v>0.33384615384615385</v>
      </c>
    </row>
    <row r="33" spans="1:6" x14ac:dyDescent="0.25">
      <c r="A33" s="4" t="s">
        <v>31</v>
      </c>
      <c r="B33" s="4">
        <f>3.06*4</f>
        <v>12.24</v>
      </c>
      <c r="C33" s="4">
        <v>3.06</v>
      </c>
      <c r="D33" s="4">
        <v>4</v>
      </c>
      <c r="E33" s="4">
        <f t="shared" si="3"/>
        <v>0.23538461538461539</v>
      </c>
      <c r="F33">
        <f>E32+E33+E35+E34+E36+E37</f>
        <v>1.0376923076923077</v>
      </c>
    </row>
    <row r="34" spans="1:6" x14ac:dyDescent="0.25">
      <c r="A34" s="4" t="s">
        <v>3</v>
      </c>
      <c r="B34" s="4">
        <f>0.75*4</f>
        <v>3</v>
      </c>
      <c r="C34" s="4">
        <v>0.75</v>
      </c>
      <c r="D34" s="4">
        <v>4</v>
      </c>
      <c r="E34" s="4">
        <f t="shared" si="3"/>
        <v>5.7692307692307696E-2</v>
      </c>
    </row>
    <row r="35" spans="1:6" x14ac:dyDescent="0.25">
      <c r="A35" s="4" t="s">
        <v>4</v>
      </c>
      <c r="B35" s="4">
        <f>0.71*4</f>
        <v>2.84</v>
      </c>
      <c r="C35" s="4">
        <v>0.71</v>
      </c>
      <c r="D35" s="4">
        <v>4</v>
      </c>
      <c r="E35" s="4">
        <f t="shared" si="3"/>
        <v>5.4615384615384614E-2</v>
      </c>
    </row>
    <row r="36" spans="1:6" x14ac:dyDescent="0.25">
      <c r="A36" s="4" t="s">
        <v>5</v>
      </c>
      <c r="B36" s="4">
        <f>0.71*4</f>
        <v>2.84</v>
      </c>
      <c r="C36" s="4">
        <v>0.71</v>
      </c>
      <c r="D36" s="4">
        <v>4</v>
      </c>
      <c r="E36" s="4">
        <f t="shared" si="3"/>
        <v>5.4615384615384614E-2</v>
      </c>
    </row>
    <row r="37" spans="1:6" x14ac:dyDescent="0.25">
      <c r="A37" s="4" t="s">
        <v>6</v>
      </c>
      <c r="B37" s="4">
        <f>3.92*4</f>
        <v>15.68</v>
      </c>
      <c r="C37" s="4">
        <v>3.92</v>
      </c>
      <c r="D37" s="4">
        <v>4</v>
      </c>
      <c r="E37" s="4">
        <f t="shared" si="3"/>
        <v>0.30153846153846153</v>
      </c>
    </row>
    <row r="38" spans="1:6" x14ac:dyDescent="0.25">
      <c r="A38" s="4"/>
      <c r="B38" s="4"/>
      <c r="C38" s="4"/>
      <c r="D38" s="4"/>
      <c r="E38" s="4">
        <f>SUM(E26:E37)</f>
        <v>188.54730769230773</v>
      </c>
    </row>
    <row r="39" spans="1:6" x14ac:dyDescent="0.25">
      <c r="A39" s="4"/>
      <c r="B39" s="4"/>
      <c r="C39" s="4"/>
      <c r="D39" s="4"/>
      <c r="E39" s="4"/>
    </row>
    <row r="40" spans="1:6" x14ac:dyDescent="0.25">
      <c r="A40" s="4"/>
      <c r="B40" s="4"/>
      <c r="C40" s="4"/>
      <c r="D40" s="4"/>
      <c r="E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Wikman</dc:creator>
  <cp:lastModifiedBy>Philip Wikman</cp:lastModifiedBy>
  <dcterms:created xsi:type="dcterms:W3CDTF">2015-06-05T18:19:34Z</dcterms:created>
  <dcterms:modified xsi:type="dcterms:W3CDTF">2026-06-11T15:57:49Z</dcterms:modified>
</cp:coreProperties>
</file>